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imização Agríc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1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6" customWidth="1" min="3" max="3"/>
    <col width="28" customWidth="1" min="4" max="4"/>
    <col width="24" customWidth="1" min="5" max="5"/>
    <col width="22" customWidth="1" min="6" max="6"/>
    <col width="25" customWidth="1" min="7" max="7"/>
    <col width="24" customWidth="1" min="8" max="8"/>
    <col width="25" customWidth="1" min="9" max="9"/>
  </cols>
  <sheetData>
    <row r="1" ht="35" customHeight="1">
      <c r="A1" s="1" t="inlineStr">
        <is>
          <t>Análise Microeconômica e Otimização da Cooperativa (2015–2025)</t>
        </is>
      </c>
    </row>
    <row r="3" ht="28" customHeight="1">
      <c r="A3" s="2" t="inlineStr">
        <is>
          <t>Ano</t>
        </is>
      </c>
      <c r="B3" s="2" t="inlineStr">
        <is>
          <t>Status</t>
        </is>
      </c>
      <c r="C3" s="2" t="inlineStr">
        <is>
          <t>Preço de Equilíbrio FOB (US$/t)</t>
        </is>
      </c>
      <c r="D3" s="2" t="inlineStr">
        <is>
          <t>Quantidade Ótima q* (T)</t>
        </is>
      </c>
      <c r="E3" s="2" t="inlineStr">
        <is>
          <t>Receita Total (US$)</t>
        </is>
      </c>
      <c r="F3" s="2" t="inlineStr">
        <is>
          <t>Custo Total (US$)</t>
        </is>
      </c>
      <c r="G3" s="2" t="inlineStr">
        <is>
          <t>Lucro Ótimo L* (US$)</t>
        </is>
      </c>
      <c r="H3" s="2" t="inlineStr">
        <is>
          <t>Custo Médio (US$/t)</t>
        </is>
      </c>
      <c r="I3" s="2" t="inlineStr">
        <is>
          <t>Produtividade (t/ha)</t>
        </is>
      </c>
    </row>
    <row r="4" ht="20" customHeight="1">
      <c r="A4" s="3" t="n">
        <v>2015</v>
      </c>
      <c r="B4" s="4" t="inlineStr">
        <is>
          <t>OPERANDO</t>
        </is>
      </c>
      <c r="C4" s="5" t="n">
        <v>395</v>
      </c>
      <c r="D4" s="6" t="n">
        <v>179166.67</v>
      </c>
      <c r="E4" s="5" t="n">
        <v>70770833.33</v>
      </c>
      <c r="F4" s="5" t="n">
        <v>56510416.67</v>
      </c>
      <c r="G4" s="5" t="n">
        <v>14260416.67</v>
      </c>
      <c r="H4" s="5" t="n">
        <v>315.41</v>
      </c>
      <c r="I4" s="7" t="n">
        <v>3.58</v>
      </c>
    </row>
    <row r="5" ht="20" customHeight="1">
      <c r="A5" s="8" t="n">
        <v>2016</v>
      </c>
      <c r="B5" s="9" t="inlineStr">
        <is>
          <t>OPERANDO</t>
        </is>
      </c>
      <c r="C5" s="10" t="n">
        <v>375</v>
      </c>
      <c r="D5" s="11" t="n">
        <v>162500</v>
      </c>
      <c r="E5" s="10" t="n">
        <v>60937500</v>
      </c>
      <c r="F5" s="10" t="n">
        <v>50093750</v>
      </c>
      <c r="G5" s="10" t="n">
        <v>10843750</v>
      </c>
      <c r="H5" s="10" t="n">
        <v>308.27</v>
      </c>
      <c r="I5" s="12" t="n">
        <v>3.25</v>
      </c>
    </row>
    <row r="6" ht="20" customHeight="1">
      <c r="A6" s="3" t="n">
        <v>2017</v>
      </c>
      <c r="B6" s="4" t="inlineStr">
        <is>
          <t>OPERANDO</t>
        </is>
      </c>
      <c r="C6" s="5" t="n">
        <v>380</v>
      </c>
      <c r="D6" s="6" t="n">
        <v>166666.67</v>
      </c>
      <c r="E6" s="5" t="n">
        <v>63333333.33</v>
      </c>
      <c r="F6" s="5" t="n">
        <v>51666666.67</v>
      </c>
      <c r="G6" s="5" t="n">
        <v>11666666.67</v>
      </c>
      <c r="H6" s="5" t="n">
        <v>310</v>
      </c>
      <c r="I6" s="7" t="n">
        <v>3.33</v>
      </c>
    </row>
    <row r="7" ht="20" customHeight="1">
      <c r="A7" s="8" t="n">
        <v>2018</v>
      </c>
      <c r="B7" s="9" t="inlineStr">
        <is>
          <t>OPERANDO</t>
        </is>
      </c>
      <c r="C7" s="10" t="n">
        <v>390</v>
      </c>
      <c r="D7" s="11" t="n">
        <v>175000</v>
      </c>
      <c r="E7" s="10" t="n">
        <v>68250000</v>
      </c>
      <c r="F7" s="10" t="n">
        <v>54875000</v>
      </c>
      <c r="G7" s="10" t="n">
        <v>13375000</v>
      </c>
      <c r="H7" s="10" t="n">
        <v>313.57</v>
      </c>
      <c r="I7" s="12" t="n">
        <v>3.5</v>
      </c>
    </row>
    <row r="8" ht="20" customHeight="1">
      <c r="A8" s="3" t="n">
        <v>2019</v>
      </c>
      <c r="B8" s="4" t="inlineStr">
        <is>
          <t>OPERANDO</t>
        </is>
      </c>
      <c r="C8" s="5" t="n">
        <v>350</v>
      </c>
      <c r="D8" s="6" t="n">
        <v>141666.67</v>
      </c>
      <c r="E8" s="5" t="n">
        <v>49583333.33</v>
      </c>
      <c r="F8" s="5" t="n">
        <v>42541666.67</v>
      </c>
      <c r="G8" s="5" t="n">
        <v>7041666.67</v>
      </c>
      <c r="H8" s="5" t="n">
        <v>300.29</v>
      </c>
      <c r="I8" s="7" t="n">
        <v>2.83</v>
      </c>
    </row>
    <row r="9" ht="20" customHeight="1">
      <c r="A9" s="8" t="n">
        <v>2020</v>
      </c>
      <c r="B9" s="9" t="inlineStr">
        <is>
          <t>OPERANDO</t>
        </is>
      </c>
      <c r="C9" s="10" t="n">
        <v>355</v>
      </c>
      <c r="D9" s="11" t="n">
        <v>145833.33</v>
      </c>
      <c r="E9" s="10" t="n">
        <v>51770833.33</v>
      </c>
      <c r="F9" s="10" t="n">
        <v>44010416.67</v>
      </c>
      <c r="G9" s="10" t="n">
        <v>7760416.67</v>
      </c>
      <c r="H9" s="10" t="n">
        <v>301.79</v>
      </c>
      <c r="I9" s="12" t="n">
        <v>2.92</v>
      </c>
    </row>
    <row r="10" ht="20" customHeight="1">
      <c r="A10" s="3" t="n">
        <v>2021</v>
      </c>
      <c r="B10" s="4" t="inlineStr">
        <is>
          <t>OPERANDO</t>
        </is>
      </c>
      <c r="C10" s="5" t="n">
        <v>460</v>
      </c>
      <c r="D10" s="6" t="n">
        <v>233333.33</v>
      </c>
      <c r="E10" s="5" t="n">
        <v>107333333.33</v>
      </c>
      <c r="F10" s="5" t="n">
        <v>79666666.67</v>
      </c>
      <c r="G10" s="5" t="n">
        <v>27666666.67</v>
      </c>
      <c r="H10" s="5" t="n">
        <v>341.43</v>
      </c>
      <c r="I10" s="7" t="n">
        <v>4.67</v>
      </c>
    </row>
    <row r="11" ht="20" customHeight="1">
      <c r="A11" s="8" t="n">
        <v>2022</v>
      </c>
      <c r="B11" s="9" t="inlineStr">
        <is>
          <t>OPERANDO</t>
        </is>
      </c>
      <c r="C11" s="10" t="n">
        <v>580</v>
      </c>
      <c r="D11" s="11" t="n">
        <v>333333.33</v>
      </c>
      <c r="E11" s="10" t="n">
        <v>193333333.33</v>
      </c>
      <c r="F11" s="10" t="n">
        <v>131666666.67</v>
      </c>
      <c r="G11" s="10" t="n">
        <v>61666666.67</v>
      </c>
      <c r="H11" s="10" t="n">
        <v>395</v>
      </c>
      <c r="I11" s="12" t="n">
        <v>6.67</v>
      </c>
    </row>
    <row r="12" ht="20" customHeight="1">
      <c r="A12" s="3" t="n">
        <v>2023</v>
      </c>
      <c r="B12" s="4" t="inlineStr">
        <is>
          <t>OPERANDO</t>
        </is>
      </c>
      <c r="C12" s="5" t="n">
        <v>520</v>
      </c>
      <c r="D12" s="6" t="n">
        <v>283333.33</v>
      </c>
      <c r="E12" s="5" t="n">
        <v>147333333.33</v>
      </c>
      <c r="F12" s="5" t="n">
        <v>104166666.67</v>
      </c>
      <c r="G12" s="5" t="n">
        <v>43166666.67</v>
      </c>
      <c r="H12" s="5" t="n">
        <v>367.65</v>
      </c>
      <c r="I12" s="7" t="n">
        <v>5.67</v>
      </c>
    </row>
    <row r="13" ht="20" customHeight="1">
      <c r="A13" s="8" t="n">
        <v>2024</v>
      </c>
      <c r="B13" s="9" t="inlineStr">
        <is>
          <t>OPERANDO</t>
        </is>
      </c>
      <c r="C13" s="10" t="n">
        <v>425</v>
      </c>
      <c r="D13" s="11" t="n">
        <v>204166.67</v>
      </c>
      <c r="E13" s="10" t="n">
        <v>86770833.33</v>
      </c>
      <c r="F13" s="10" t="n">
        <v>66760416.67</v>
      </c>
      <c r="G13" s="10" t="n">
        <v>20010416.67</v>
      </c>
      <c r="H13" s="10" t="n">
        <v>326.99</v>
      </c>
      <c r="I13" s="12" t="n">
        <v>4.08</v>
      </c>
    </row>
    <row r="14" ht="20" customHeight="1">
      <c r="A14" s="3" t="n">
        <v>2025</v>
      </c>
      <c r="B14" s="4" t="inlineStr">
        <is>
          <t>OPERANDO</t>
        </is>
      </c>
      <c r="C14" s="5" t="n">
        <v>400</v>
      </c>
      <c r="D14" s="6" t="n">
        <v>183333.33</v>
      </c>
      <c r="E14" s="5" t="n">
        <v>73333333.33</v>
      </c>
      <c r="F14" s="5" t="n">
        <v>58166666.67</v>
      </c>
      <c r="G14" s="5" t="n">
        <v>15166666.67</v>
      </c>
      <c r="H14" s="5" t="n">
        <v>317.27</v>
      </c>
      <c r="I14" s="7" t="n">
        <v>3.67</v>
      </c>
    </row>
    <row r="15" ht="22" customHeight="1">
      <c r="A15" s="13" t="inlineStr">
        <is>
          <t>Média</t>
        </is>
      </c>
      <c r="B15" s="14" t="inlineStr">
        <is>
          <t>-</t>
        </is>
      </c>
      <c r="C15" s="15">
        <f>AVERAGE(C4:C14)</f>
        <v/>
      </c>
      <c r="D15" s="16">
        <f>AVERAGE(D4:D14)</f>
        <v/>
      </c>
      <c r="E15" s="15">
        <f>AVERAGE(E4:E14)</f>
        <v/>
      </c>
      <c r="F15" s="15">
        <f>AVERAGE(F4:F14)</f>
        <v/>
      </c>
      <c r="G15" s="15">
        <f>AVERAGE(G4:G14)</f>
        <v/>
      </c>
      <c r="H15" s="15">
        <f>AVERAGE(H4:H14)</f>
        <v/>
      </c>
      <c r="I15" s="17">
        <f>AVERAGE(I4:I14)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2026-10-26T14:31:20Z</dcterms:created>
  <dcterms:modified xmlns:dcterms="http://purl.org/dc/terms/" xmlns:xsi="http://www.w3.org/2001/XMLSchema-instance" xsi:type="dcterms:W3CDTF">2026-10-26T14:31:20Z</dcterms:modified>
</cp:coreProperties>
</file>